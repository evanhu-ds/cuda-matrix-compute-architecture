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vanhu/Desktop/"/>
    </mc:Choice>
  </mc:AlternateContent>
  <xr:revisionPtr revIDLastSave="0" documentId="8_{71861AD2-3B69-BB49-B8D3-083D777BD574}" xr6:coauthVersionLast="47" xr6:coauthVersionMax="47" xr10:uidLastSave="{00000000-0000-0000-0000-000000000000}"/>
  <bookViews>
    <workbookView xWindow="0" yWindow="500" windowWidth="28800" windowHeight="17500" xr2:uid="{AA1BC75D-D827-F94C-973E-1B22956D5DE6}"/>
  </bookViews>
  <sheets>
    <sheet name="Tables and Graphs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9" i="2" l="1"/>
  <c r="E19" i="2"/>
  <c r="F19" i="2"/>
  <c r="C19" i="2"/>
  <c r="D18" i="2"/>
  <c r="E18" i="2"/>
  <c r="F18" i="2"/>
  <c r="C18" i="2"/>
  <c r="D17" i="2"/>
  <c r="E17" i="2"/>
  <c r="F17" i="2"/>
  <c r="C17" i="2"/>
  <c r="F4" i="2"/>
  <c r="E4" i="2"/>
  <c r="D4" i="2"/>
  <c r="C4" i="2"/>
</calcChain>
</file>

<file path=xl/sharedStrings.xml><?xml version="1.0" encoding="utf-8"?>
<sst xmlns="http://schemas.openxmlformats.org/spreadsheetml/2006/main" count="26" uniqueCount="14">
  <si>
    <t>Implementation</t>
  </si>
  <si>
    <t>N=512</t>
  </si>
  <si>
    <t>N=1024</t>
  </si>
  <si>
    <t>N=2048</t>
  </si>
  <si>
    <t>N=4096</t>
  </si>
  <si>
    <t>N=8192</t>
  </si>
  <si>
    <t>CPU (C)</t>
  </si>
  <si>
    <t>Naïve CUDA</t>
  </si>
  <si>
    <t>Optimized CUDA</t>
  </si>
  <si>
    <t>cuBLAS</t>
  </si>
  <si>
    <t>CPU (C) in seconds</t>
  </si>
  <si>
    <t>CPU (C) in ms</t>
  </si>
  <si>
    <t>Speedup Results (CPU time/GPU time)</t>
  </si>
  <si>
    <t>Matrix Multiplication Runtimes (in milliseconds)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</si>
</sst>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71" formatCode="_(* #,##0_);_(* \(#,##0\);_(* &quot;-&quot;??_);_(@_)"/>
  </numFmts>
  <fonts count="5" x14ac:knownFonts="1">
    <font>
      <sz val="12"/>
      <color theme="1"/>
      <name val="Aptos Narrow"/>
      <family val="2"/>
      <scheme val="minor"/>
    </font>
    <font>
      <sz val="12"/>
      <color theme="1"/>
      <name val="Calibri"/>
      <family val="2"/>
    </font>
    <font>
      <b/>
      <sz val="12"/>
      <color theme="1"/>
      <name val="Calibri"/>
      <family val="2"/>
    </font>
    <font>
      <sz val="12"/>
      <color theme="1"/>
      <name val="Aptos Narrow"/>
      <family val="2"/>
      <scheme val="minor"/>
    </font>
    <font>
      <b/>
      <i/>
      <sz val="12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43" fontId="3" fillId="0" borderId="0" applyFont="0" applyFill="0" applyBorder="0" applyAlignment="0" applyProtection="0"/>
  </cellStyleXfs>
  <cellXfs count="17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Border="1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2" fillId="0" borderId="4" xfId="0" applyFont="1" applyBorder="1"/>
    <xf numFmtId="0" fontId="2" fillId="0" borderId="5" xfId="0" applyFont="1" applyBorder="1"/>
    <xf numFmtId="0" fontId="2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4" fillId="0" borderId="0" xfId="0" applyFont="1"/>
    <xf numFmtId="171" fontId="1" fillId="0" borderId="0" xfId="1" applyNumberFormat="1" applyFont="1" applyBorder="1"/>
    <xf numFmtId="171" fontId="1" fillId="0" borderId="1" xfId="1" applyNumberFormat="1" applyFont="1" applyBorder="1"/>
    <xf numFmtId="171" fontId="1" fillId="0" borderId="2" xfId="1" applyNumberFormat="1" applyFont="1" applyBorder="1"/>
    <xf numFmtId="171" fontId="1" fillId="0" borderId="3" xfId="1" applyNumberFormat="1" applyFont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+mn-ea"/>
                <a:cs typeface="Calibri" panose="020F0502020204030204" pitchFamily="34" charset="0"/>
              </a:defRPr>
            </a:pPr>
            <a:r>
              <a:rPr lang="en-US" sz="1500" b="1">
                <a:latin typeface="Calibri" panose="020F0502020204030204" pitchFamily="34" charset="0"/>
                <a:cs typeface="Calibri" panose="020F0502020204030204" pitchFamily="34" charset="0"/>
              </a:rPr>
              <a:t>CPU vs. GPU Runtimes (in milliseconds)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Calibri" panose="020F0502020204030204" pitchFamily="34" charset="0"/>
              <a:ea typeface="+mn-ea"/>
              <a:cs typeface="Calibri" panose="020F0502020204030204" pitchFamily="34" charset="0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'Tables and Graphs'!$B$9</c:f>
              <c:strCache>
                <c:ptCount val="1"/>
                <c:pt idx="0">
                  <c:v>CPU (C)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'Tables and Graphs'!$C$8:$F$8</c:f>
              <c:strCache>
                <c:ptCount val="4"/>
                <c:pt idx="0">
                  <c:v>N=512</c:v>
                </c:pt>
                <c:pt idx="1">
                  <c:v>N=1024</c:v>
                </c:pt>
                <c:pt idx="2">
                  <c:v>N=2048</c:v>
                </c:pt>
                <c:pt idx="3">
                  <c:v>N=4096</c:v>
                </c:pt>
              </c:strCache>
            </c:strRef>
          </c:cat>
          <c:val>
            <c:numRef>
              <c:f>'Tables and Graphs'!$C$9:$F$9</c:f>
              <c:numCache>
                <c:formatCode>General</c:formatCode>
                <c:ptCount val="4"/>
                <c:pt idx="0">
                  <c:v>226.07599999999999</c:v>
                </c:pt>
                <c:pt idx="1">
                  <c:v>2914.3420000000001</c:v>
                </c:pt>
                <c:pt idx="2">
                  <c:v>69466.751000000004</c:v>
                </c:pt>
                <c:pt idx="3">
                  <c:v>654888.03900000011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7E0-434E-9621-E3B550001864}"/>
            </c:ext>
          </c:extLst>
        </c:ser>
        <c:ser>
          <c:idx val="1"/>
          <c:order val="1"/>
          <c:tx>
            <c:strRef>
              <c:f>'Tables and Graphs'!$B$10</c:f>
              <c:strCache>
                <c:ptCount val="1"/>
                <c:pt idx="0">
                  <c:v>Naïve CUDA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'Tables and Graphs'!$C$8:$F$8</c:f>
              <c:strCache>
                <c:ptCount val="4"/>
                <c:pt idx="0">
                  <c:v>N=512</c:v>
                </c:pt>
                <c:pt idx="1">
                  <c:v>N=1024</c:v>
                </c:pt>
                <c:pt idx="2">
                  <c:v>N=2048</c:v>
                </c:pt>
                <c:pt idx="3">
                  <c:v>N=4096</c:v>
                </c:pt>
              </c:strCache>
            </c:strRef>
          </c:cat>
          <c:val>
            <c:numRef>
              <c:f>'Tables and Graphs'!$C$10:$F$10</c:f>
              <c:numCache>
                <c:formatCode>General</c:formatCode>
                <c:ptCount val="4"/>
                <c:pt idx="0">
                  <c:v>0.77200000000000002</c:v>
                </c:pt>
                <c:pt idx="1">
                  <c:v>5.3540000000000001</c:v>
                </c:pt>
                <c:pt idx="2">
                  <c:v>41.100999999999999</c:v>
                </c:pt>
                <c:pt idx="3">
                  <c:v>320.97800000000001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7E0-434E-9621-E3B550001864}"/>
            </c:ext>
          </c:extLst>
        </c:ser>
        <c:ser>
          <c:idx val="2"/>
          <c:order val="2"/>
          <c:tx>
            <c:strRef>
              <c:f>'Tables and Graphs'!$B$11</c:f>
              <c:strCache>
                <c:ptCount val="1"/>
                <c:pt idx="0">
                  <c:v>Optimized CUDA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'Tables and Graphs'!$C$8:$F$8</c:f>
              <c:strCache>
                <c:ptCount val="4"/>
                <c:pt idx="0">
                  <c:v>N=512</c:v>
                </c:pt>
                <c:pt idx="1">
                  <c:v>N=1024</c:v>
                </c:pt>
                <c:pt idx="2">
                  <c:v>N=2048</c:v>
                </c:pt>
                <c:pt idx="3">
                  <c:v>N=4096</c:v>
                </c:pt>
              </c:strCache>
            </c:strRef>
          </c:cat>
          <c:val>
            <c:numRef>
              <c:f>'Tables and Graphs'!$C$11:$F$11</c:f>
              <c:numCache>
                <c:formatCode>General</c:formatCode>
                <c:ptCount val="4"/>
                <c:pt idx="0">
                  <c:v>0.80200000000000005</c:v>
                </c:pt>
                <c:pt idx="1">
                  <c:v>3.0979999999999999</c:v>
                </c:pt>
                <c:pt idx="2">
                  <c:v>24.032</c:v>
                </c:pt>
                <c:pt idx="3">
                  <c:v>204.339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7E0-434E-9621-E3B550001864}"/>
            </c:ext>
          </c:extLst>
        </c:ser>
        <c:ser>
          <c:idx val="3"/>
          <c:order val="3"/>
          <c:tx>
            <c:strRef>
              <c:f>'Tables and Graphs'!$B$12</c:f>
              <c:strCache>
                <c:ptCount val="1"/>
                <c:pt idx="0">
                  <c:v>cuBLAS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'Tables and Graphs'!$C$8:$F$8</c:f>
              <c:strCache>
                <c:ptCount val="4"/>
                <c:pt idx="0">
                  <c:v>N=512</c:v>
                </c:pt>
                <c:pt idx="1">
                  <c:v>N=1024</c:v>
                </c:pt>
                <c:pt idx="2">
                  <c:v>N=2048</c:v>
                </c:pt>
                <c:pt idx="3">
                  <c:v>N=4096</c:v>
                </c:pt>
              </c:strCache>
            </c:strRef>
          </c:cat>
          <c:val>
            <c:numRef>
              <c:f>'Tables and Graphs'!$C$12:$F$12</c:f>
              <c:numCache>
                <c:formatCode>General</c:formatCode>
                <c:ptCount val="4"/>
                <c:pt idx="0">
                  <c:v>57.872</c:v>
                </c:pt>
                <c:pt idx="1">
                  <c:v>6.8849999999999998</c:v>
                </c:pt>
                <c:pt idx="2">
                  <c:v>10.996</c:v>
                </c:pt>
                <c:pt idx="3">
                  <c:v>46.26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7E0-434E-9621-E3B5500018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62100383"/>
        <c:axId val="1962102111"/>
      </c:lineChart>
      <c:catAx>
        <c:axId val="19621003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+mn-ea"/>
                <a:cs typeface="Calibri" panose="020F0502020204030204" pitchFamily="34" charset="0"/>
              </a:defRPr>
            </a:pPr>
            <a:endParaRPr lang="en-US"/>
          </a:p>
        </c:txPr>
        <c:crossAx val="1962102111"/>
        <c:crosses val="autoZero"/>
        <c:auto val="1"/>
        <c:lblAlgn val="ctr"/>
        <c:lblOffset val="100"/>
        <c:noMultiLvlLbl val="0"/>
      </c:catAx>
      <c:valAx>
        <c:axId val="19621021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+mn-ea"/>
                <a:cs typeface="Calibri" panose="020F0502020204030204" pitchFamily="34" charset="0"/>
              </a:defRPr>
            </a:pPr>
            <a:endParaRPr lang="en-US"/>
          </a:p>
        </c:txPr>
        <c:crossAx val="19621003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Calibri" panose="020F0502020204030204" pitchFamily="34" charset="0"/>
              <a:ea typeface="+mn-ea"/>
              <a:cs typeface="Calibri" panose="020F0502020204030204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+mn-ea"/>
                <a:cs typeface="Calibri" panose="020F0502020204030204" pitchFamily="34" charset="0"/>
              </a:defRPr>
            </a:pPr>
            <a:r>
              <a:rPr lang="en-US" sz="1500" b="1">
                <a:latin typeface="Calibri" panose="020F0502020204030204" pitchFamily="34" charset="0"/>
                <a:cs typeface="Calibri" panose="020F0502020204030204" pitchFamily="34" charset="0"/>
              </a:rPr>
              <a:t>GPU Runtimes (in milliseconds)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Calibri" panose="020F0502020204030204" pitchFamily="34" charset="0"/>
              <a:ea typeface="+mn-ea"/>
              <a:cs typeface="Calibri" panose="020F0502020204030204" pitchFamily="34" charset="0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'Tables and Graphs'!$B$10</c:f>
              <c:strCache>
                <c:ptCount val="1"/>
                <c:pt idx="0">
                  <c:v>Naïve CUDA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'Tables and Graphs'!$C$8:$G$8</c:f>
              <c:strCache>
                <c:ptCount val="5"/>
                <c:pt idx="0">
                  <c:v>N=512</c:v>
                </c:pt>
                <c:pt idx="1">
                  <c:v>N=1024</c:v>
                </c:pt>
                <c:pt idx="2">
                  <c:v>N=2048</c:v>
                </c:pt>
                <c:pt idx="3">
                  <c:v>N=4096</c:v>
                </c:pt>
                <c:pt idx="4">
                  <c:v>N=8192</c:v>
                </c:pt>
              </c:strCache>
            </c:strRef>
          </c:cat>
          <c:val>
            <c:numRef>
              <c:f>'Tables and Graphs'!$C$10:$G$10</c:f>
              <c:numCache>
                <c:formatCode>General</c:formatCode>
                <c:ptCount val="5"/>
                <c:pt idx="0">
                  <c:v>0.77200000000000002</c:v>
                </c:pt>
                <c:pt idx="1">
                  <c:v>5.3540000000000001</c:v>
                </c:pt>
                <c:pt idx="2">
                  <c:v>41.100999999999999</c:v>
                </c:pt>
                <c:pt idx="3">
                  <c:v>320.97800000000001</c:v>
                </c:pt>
                <c:pt idx="4">
                  <c:v>2692.1370000000002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FEA-DA4F-BA26-1EADAEA9347E}"/>
            </c:ext>
          </c:extLst>
        </c:ser>
        <c:ser>
          <c:idx val="1"/>
          <c:order val="1"/>
          <c:tx>
            <c:strRef>
              <c:f>'Tables and Graphs'!$B$11</c:f>
              <c:strCache>
                <c:ptCount val="1"/>
                <c:pt idx="0">
                  <c:v>Optimized CUDA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'Tables and Graphs'!$C$8:$G$8</c:f>
              <c:strCache>
                <c:ptCount val="5"/>
                <c:pt idx="0">
                  <c:v>N=512</c:v>
                </c:pt>
                <c:pt idx="1">
                  <c:v>N=1024</c:v>
                </c:pt>
                <c:pt idx="2">
                  <c:v>N=2048</c:v>
                </c:pt>
                <c:pt idx="3">
                  <c:v>N=4096</c:v>
                </c:pt>
                <c:pt idx="4">
                  <c:v>N=8192</c:v>
                </c:pt>
              </c:strCache>
            </c:strRef>
          </c:cat>
          <c:val>
            <c:numRef>
              <c:f>'Tables and Graphs'!$C$11:$G$11</c:f>
              <c:numCache>
                <c:formatCode>General</c:formatCode>
                <c:ptCount val="5"/>
                <c:pt idx="0">
                  <c:v>0.80200000000000005</c:v>
                </c:pt>
                <c:pt idx="1">
                  <c:v>3.0979999999999999</c:v>
                </c:pt>
                <c:pt idx="2">
                  <c:v>24.032</c:v>
                </c:pt>
                <c:pt idx="3">
                  <c:v>204.339</c:v>
                </c:pt>
                <c:pt idx="4">
                  <c:v>1748.0250000000001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FEA-DA4F-BA26-1EADAEA9347E}"/>
            </c:ext>
          </c:extLst>
        </c:ser>
        <c:ser>
          <c:idx val="2"/>
          <c:order val="2"/>
          <c:tx>
            <c:strRef>
              <c:f>'Tables and Graphs'!$B$12</c:f>
              <c:strCache>
                <c:ptCount val="1"/>
                <c:pt idx="0">
                  <c:v>cuBLAS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'Tables and Graphs'!$C$8:$G$8</c:f>
              <c:strCache>
                <c:ptCount val="5"/>
                <c:pt idx="0">
                  <c:v>N=512</c:v>
                </c:pt>
                <c:pt idx="1">
                  <c:v>N=1024</c:v>
                </c:pt>
                <c:pt idx="2">
                  <c:v>N=2048</c:v>
                </c:pt>
                <c:pt idx="3">
                  <c:v>N=4096</c:v>
                </c:pt>
                <c:pt idx="4">
                  <c:v>N=8192</c:v>
                </c:pt>
              </c:strCache>
            </c:strRef>
          </c:cat>
          <c:val>
            <c:numRef>
              <c:f>'Tables and Graphs'!$C$12:$G$12</c:f>
              <c:numCache>
                <c:formatCode>General</c:formatCode>
                <c:ptCount val="5"/>
                <c:pt idx="0">
                  <c:v>57.872</c:v>
                </c:pt>
                <c:pt idx="1">
                  <c:v>6.8849999999999998</c:v>
                </c:pt>
                <c:pt idx="2">
                  <c:v>10.996</c:v>
                </c:pt>
                <c:pt idx="3">
                  <c:v>46.26</c:v>
                </c:pt>
                <c:pt idx="4">
                  <c:v>302.94299999999998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FEA-DA4F-BA26-1EADAEA934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9194112"/>
        <c:axId val="154981328"/>
      </c:lineChart>
      <c:catAx>
        <c:axId val="1791941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+mn-ea"/>
                <a:cs typeface="Calibri" panose="020F0502020204030204" pitchFamily="34" charset="0"/>
              </a:defRPr>
            </a:pPr>
            <a:endParaRPr lang="en-US"/>
          </a:p>
        </c:txPr>
        <c:crossAx val="154981328"/>
        <c:crosses val="autoZero"/>
        <c:auto val="1"/>
        <c:lblAlgn val="ctr"/>
        <c:lblOffset val="100"/>
        <c:noMultiLvlLbl val="0"/>
      </c:catAx>
      <c:valAx>
        <c:axId val="154981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+mn-ea"/>
                <a:cs typeface="Calibri" panose="020F0502020204030204" pitchFamily="34" charset="0"/>
              </a:defRPr>
            </a:pPr>
            <a:endParaRPr lang="en-US"/>
          </a:p>
        </c:txPr>
        <c:crossAx val="1791941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Calibri" panose="020F0502020204030204" pitchFamily="34" charset="0"/>
              <a:ea typeface="+mn-ea"/>
              <a:cs typeface="Calibri" panose="020F0502020204030204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+mn-ea"/>
                <a:cs typeface="Calibri" panose="020F0502020204030204" pitchFamily="34" charset="0"/>
              </a:defRPr>
            </a:pPr>
            <a:r>
              <a:rPr lang="en-US" sz="1500" b="1">
                <a:latin typeface="Calibri" panose="020F0502020204030204" pitchFamily="34" charset="0"/>
                <a:cs typeface="Calibri" panose="020F0502020204030204" pitchFamily="34" charset="0"/>
              </a:rPr>
              <a:t>Speedup</a:t>
            </a:r>
            <a:r>
              <a:rPr lang="en-US" sz="1500" b="1" baseline="0">
                <a:latin typeface="Calibri" panose="020F0502020204030204" pitchFamily="34" charset="0"/>
                <a:cs typeface="Calibri" panose="020F0502020204030204" pitchFamily="34" charset="0"/>
              </a:rPr>
              <a:t> Results (CPU time/GPU time)</a:t>
            </a:r>
            <a:endParaRPr lang="en-US" sz="1500" b="1">
              <a:latin typeface="Calibri" panose="020F0502020204030204" pitchFamily="34" charset="0"/>
              <a:cs typeface="Calibri" panose="020F050202020403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Calibri" panose="020F0502020204030204" pitchFamily="34" charset="0"/>
              <a:ea typeface="+mn-ea"/>
              <a:cs typeface="Calibri" panose="020F0502020204030204" pitchFamily="34" charset="0"/>
            </a:defRPr>
          </a:pPr>
          <a:endParaRPr lang="en-US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'Tables and Graphs'!$B$17</c:f>
              <c:strCache>
                <c:ptCount val="1"/>
                <c:pt idx="0">
                  <c:v>Naïve CUDA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'Tables and Graphs'!$C$16:$F$16</c:f>
              <c:strCache>
                <c:ptCount val="4"/>
                <c:pt idx="0">
                  <c:v>N=512</c:v>
                </c:pt>
                <c:pt idx="1">
                  <c:v>N=1024</c:v>
                </c:pt>
                <c:pt idx="2">
                  <c:v>N=2048</c:v>
                </c:pt>
                <c:pt idx="3">
                  <c:v>N=4096</c:v>
                </c:pt>
              </c:strCache>
            </c:strRef>
          </c:cat>
          <c:val>
            <c:numRef>
              <c:f>'Tables and Graphs'!$C$17:$F$17</c:f>
              <c:numCache>
                <c:formatCode>_(* #,##0_);_(* \(#,##0\);_(* "-"??_);_(@_)</c:formatCode>
                <c:ptCount val="4"/>
                <c:pt idx="0">
                  <c:v>292.84455958549222</c:v>
                </c:pt>
                <c:pt idx="1">
                  <c:v>544.3298468434815</c:v>
                </c:pt>
                <c:pt idx="2">
                  <c:v>1690.1474659983944</c:v>
                </c:pt>
                <c:pt idx="3">
                  <c:v>2040.2894871299593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7C6-DA48-8E28-999C6506CDE5}"/>
            </c:ext>
          </c:extLst>
        </c:ser>
        <c:ser>
          <c:idx val="1"/>
          <c:order val="1"/>
          <c:tx>
            <c:strRef>
              <c:f>'Tables and Graphs'!$B$18</c:f>
              <c:strCache>
                <c:ptCount val="1"/>
                <c:pt idx="0">
                  <c:v>Optimized CUDA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'Tables and Graphs'!$C$16:$F$16</c:f>
              <c:strCache>
                <c:ptCount val="4"/>
                <c:pt idx="0">
                  <c:v>N=512</c:v>
                </c:pt>
                <c:pt idx="1">
                  <c:v>N=1024</c:v>
                </c:pt>
                <c:pt idx="2">
                  <c:v>N=2048</c:v>
                </c:pt>
                <c:pt idx="3">
                  <c:v>N=4096</c:v>
                </c:pt>
              </c:strCache>
            </c:strRef>
          </c:cat>
          <c:val>
            <c:numRef>
              <c:f>'Tables and Graphs'!$C$18:$F$18</c:f>
              <c:numCache>
                <c:formatCode>_(* #,##0_);_(* \(#,##0\);_(* "-"??_);_(@_)</c:formatCode>
                <c:ptCount val="4"/>
                <c:pt idx="0">
                  <c:v>281.89027431421442</c:v>
                </c:pt>
                <c:pt idx="1">
                  <c:v>940.71723692704973</c:v>
                </c:pt>
                <c:pt idx="2">
                  <c:v>2890.5938332223704</c:v>
                </c:pt>
                <c:pt idx="3">
                  <c:v>3204.9096795031792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7C6-DA48-8E28-999C6506CDE5}"/>
            </c:ext>
          </c:extLst>
        </c:ser>
        <c:ser>
          <c:idx val="2"/>
          <c:order val="2"/>
          <c:tx>
            <c:strRef>
              <c:f>'Tables and Graphs'!$B$19</c:f>
              <c:strCache>
                <c:ptCount val="1"/>
                <c:pt idx="0">
                  <c:v>cuBLAS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'Tables and Graphs'!$C$16:$F$16</c:f>
              <c:strCache>
                <c:ptCount val="4"/>
                <c:pt idx="0">
                  <c:v>N=512</c:v>
                </c:pt>
                <c:pt idx="1">
                  <c:v>N=1024</c:v>
                </c:pt>
                <c:pt idx="2">
                  <c:v>N=2048</c:v>
                </c:pt>
                <c:pt idx="3">
                  <c:v>N=4096</c:v>
                </c:pt>
              </c:strCache>
            </c:strRef>
          </c:cat>
          <c:val>
            <c:numRef>
              <c:f>'Tables and Graphs'!$C$19:$F$19</c:f>
              <c:numCache>
                <c:formatCode>_(* #,##0_);_(* \(#,##0\);_(* "-"??_);_(@_)</c:formatCode>
                <c:ptCount val="4"/>
                <c:pt idx="0">
                  <c:v>3.9064832734310202</c:v>
                </c:pt>
                <c:pt idx="1">
                  <c:v>423.28859840232394</c:v>
                </c:pt>
                <c:pt idx="2">
                  <c:v>6317.4564387049841</c:v>
                </c:pt>
                <c:pt idx="3">
                  <c:v>14156.680479896242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7C6-DA48-8E28-999C6506CD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62392207"/>
        <c:axId val="2050106303"/>
      </c:lineChart>
      <c:catAx>
        <c:axId val="19623922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+mn-ea"/>
                <a:cs typeface="Calibri" panose="020F0502020204030204" pitchFamily="34" charset="0"/>
              </a:defRPr>
            </a:pPr>
            <a:endParaRPr lang="en-US"/>
          </a:p>
        </c:txPr>
        <c:crossAx val="2050106303"/>
        <c:crosses val="autoZero"/>
        <c:auto val="1"/>
        <c:lblAlgn val="ctr"/>
        <c:lblOffset val="100"/>
        <c:noMultiLvlLbl val="0"/>
      </c:catAx>
      <c:valAx>
        <c:axId val="20501063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+mn-ea"/>
                <a:cs typeface="Calibri" panose="020F0502020204030204" pitchFamily="34" charset="0"/>
              </a:defRPr>
            </a:pPr>
            <a:endParaRPr lang="en-US"/>
          </a:p>
        </c:txPr>
        <c:crossAx val="19623922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Calibri" panose="020F0502020204030204" pitchFamily="34" charset="0"/>
              <a:ea typeface="+mn-ea"/>
              <a:cs typeface="Calibri" panose="020F0502020204030204" pitchFamily="34" charset="0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755649</xdr:colOff>
      <xdr:row>20</xdr:row>
      <xdr:rowOff>57150</xdr:rowOff>
    </xdr:from>
    <xdr:to>
      <xdr:col>8</xdr:col>
      <xdr:colOff>719666</xdr:colOff>
      <xdr:row>40</xdr:row>
      <xdr:rowOff>25400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A707AFB-8153-3B5C-BBCB-3DF1A976F0D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501650</xdr:colOff>
      <xdr:row>1</xdr:row>
      <xdr:rowOff>44450</xdr:rowOff>
    </xdr:from>
    <xdr:to>
      <xdr:col>15</xdr:col>
      <xdr:colOff>120650</xdr:colOff>
      <xdr:row>14</xdr:row>
      <xdr:rowOff>95250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20BD08D-1364-EA0B-A2EA-3B1974BE169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527050</xdr:colOff>
      <xdr:row>15</xdr:row>
      <xdr:rowOff>146050</xdr:rowOff>
    </xdr:from>
    <xdr:to>
      <xdr:col>15</xdr:col>
      <xdr:colOff>146050</xdr:colOff>
      <xdr:row>29</xdr:row>
      <xdr:rowOff>6350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20433D0B-C767-1560-688E-D5DD328C93C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A8C8EE-432D-8742-8BB7-B035E3B496B5}">
  <dimension ref="B2:G21"/>
  <sheetViews>
    <sheetView tabSelected="1" zoomScaleNormal="100" workbookViewId="0">
      <selection activeCell="H15" sqref="H15"/>
    </sheetView>
  </sheetViews>
  <sheetFormatPr baseColWidth="10" defaultRowHeight="16" x14ac:dyDescent="0.2"/>
  <cols>
    <col min="1" max="1" width="10.83203125" style="1"/>
    <col min="2" max="2" width="16.5" style="1" bestFit="1" customWidth="1"/>
    <col min="3" max="4" width="9.6640625" style="1" bestFit="1" customWidth="1"/>
    <col min="5" max="5" width="10.6640625" style="1" bestFit="1" customWidth="1"/>
    <col min="6" max="6" width="11.6640625" style="1" bestFit="1" customWidth="1"/>
    <col min="7" max="16384" width="10.83203125" style="1"/>
  </cols>
  <sheetData>
    <row r="2" spans="2:7" x14ac:dyDescent="0.2">
      <c r="B2" s="2"/>
      <c r="C2" s="2" t="s">
        <v>1</v>
      </c>
      <c r="D2" s="2" t="s">
        <v>2</v>
      </c>
      <c r="E2" s="2" t="s">
        <v>3</v>
      </c>
      <c r="F2" s="2" t="s">
        <v>4</v>
      </c>
      <c r="G2" s="2"/>
    </row>
    <row r="3" spans="2:7" x14ac:dyDescent="0.2">
      <c r="B3" s="1" t="s">
        <v>10</v>
      </c>
      <c r="C3" s="1">
        <v>0.226076</v>
      </c>
      <c r="D3" s="1">
        <v>2.914342</v>
      </c>
      <c r="E3" s="1">
        <v>69.466751000000002</v>
      </c>
      <c r="F3" s="1">
        <v>654.88803900000005</v>
      </c>
    </row>
    <row r="4" spans="2:7" x14ac:dyDescent="0.2">
      <c r="B4" s="1" t="s">
        <v>11</v>
      </c>
      <c r="C4" s="1">
        <f xml:space="preserve"> C3*1000</f>
        <v>226.07599999999999</v>
      </c>
      <c r="D4" s="1">
        <f xml:space="preserve"> D3*1000</f>
        <v>2914.3420000000001</v>
      </c>
      <c r="E4" s="1">
        <f xml:space="preserve"> E3*1000</f>
        <v>69466.751000000004</v>
      </c>
      <c r="F4" s="1">
        <f xml:space="preserve"> F3*1000</f>
        <v>654888.03900000011</v>
      </c>
    </row>
    <row r="7" spans="2:7" ht="17" thickBot="1" x14ac:dyDescent="0.25">
      <c r="B7" s="12" t="s">
        <v>13</v>
      </c>
    </row>
    <row r="8" spans="2:7" ht="17" thickBot="1" x14ac:dyDescent="0.25">
      <c r="B8" s="9" t="s">
        <v>0</v>
      </c>
      <c r="C8" s="7" t="s">
        <v>1</v>
      </c>
      <c r="D8" s="7" t="s">
        <v>2</v>
      </c>
      <c r="E8" s="7" t="s">
        <v>3</v>
      </c>
      <c r="F8" s="7" t="s">
        <v>4</v>
      </c>
      <c r="G8" s="8" t="s">
        <v>5</v>
      </c>
    </row>
    <row r="9" spans="2:7" ht="17" thickTop="1" x14ac:dyDescent="0.2">
      <c r="B9" s="10" t="s">
        <v>6</v>
      </c>
      <c r="C9" s="3">
        <v>226.07599999999999</v>
      </c>
      <c r="D9" s="3">
        <v>2914.3420000000001</v>
      </c>
      <c r="E9" s="3">
        <v>69466.751000000004</v>
      </c>
      <c r="F9" s="3">
        <v>654888.03900000011</v>
      </c>
      <c r="G9" s="4"/>
    </row>
    <row r="10" spans="2:7" x14ac:dyDescent="0.2">
      <c r="B10" s="10" t="s">
        <v>7</v>
      </c>
      <c r="C10" s="3">
        <v>0.77200000000000002</v>
      </c>
      <c r="D10" s="3">
        <v>5.3540000000000001</v>
      </c>
      <c r="E10" s="3">
        <v>41.100999999999999</v>
      </c>
      <c r="F10" s="3">
        <v>320.97800000000001</v>
      </c>
      <c r="G10" s="4">
        <v>2692.1370000000002</v>
      </c>
    </row>
    <row r="11" spans="2:7" x14ac:dyDescent="0.2">
      <c r="B11" s="10" t="s">
        <v>8</v>
      </c>
      <c r="C11" s="3">
        <v>0.80200000000000005</v>
      </c>
      <c r="D11" s="3">
        <v>3.0979999999999999</v>
      </c>
      <c r="E11" s="3">
        <v>24.032</v>
      </c>
      <c r="F11" s="3">
        <v>204.339</v>
      </c>
      <c r="G11" s="4">
        <v>1748.0250000000001</v>
      </c>
    </row>
    <row r="12" spans="2:7" ht="17" thickBot="1" x14ac:dyDescent="0.25">
      <c r="B12" s="11" t="s">
        <v>9</v>
      </c>
      <c r="C12" s="5">
        <v>57.872</v>
      </c>
      <c r="D12" s="5">
        <v>6.8849999999999998</v>
      </c>
      <c r="E12" s="5">
        <v>10.996</v>
      </c>
      <c r="F12" s="5">
        <v>46.26</v>
      </c>
      <c r="G12" s="6">
        <v>302.94299999999998</v>
      </c>
    </row>
    <row r="15" spans="2:7" ht="17" thickBot="1" x14ac:dyDescent="0.25">
      <c r="B15" s="12" t="s">
        <v>12</v>
      </c>
    </row>
    <row r="16" spans="2:7" ht="17" thickBot="1" x14ac:dyDescent="0.25">
      <c r="B16" s="9" t="s">
        <v>0</v>
      </c>
      <c r="C16" s="7" t="s">
        <v>1</v>
      </c>
      <c r="D16" s="7" t="s">
        <v>2</v>
      </c>
      <c r="E16" s="7" t="s">
        <v>3</v>
      </c>
      <c r="F16" s="8" t="s">
        <v>4</v>
      </c>
    </row>
    <row r="17" spans="2:7" ht="17" thickTop="1" x14ac:dyDescent="0.2">
      <c r="B17" s="10" t="s">
        <v>7</v>
      </c>
      <c r="C17" s="13">
        <f>C9/C10</f>
        <v>292.84455958549222</v>
      </c>
      <c r="D17" s="13">
        <f>D9/D10</f>
        <v>544.3298468434815</v>
      </c>
      <c r="E17" s="13">
        <f>E9/E10</f>
        <v>1690.1474659983944</v>
      </c>
      <c r="F17" s="14">
        <f>F9/F10</f>
        <v>2040.2894871299593</v>
      </c>
    </row>
    <row r="18" spans="2:7" x14ac:dyDescent="0.2">
      <c r="B18" s="10" t="s">
        <v>8</v>
      </c>
      <c r="C18" s="13">
        <f>C9/C11</f>
        <v>281.89027431421442</v>
      </c>
      <c r="D18" s="13">
        <f>D9/D11</f>
        <v>940.71723692704973</v>
      </c>
      <c r="E18" s="13">
        <f>E9/E11</f>
        <v>2890.5938332223704</v>
      </c>
      <c r="F18" s="14">
        <f>F9/F11</f>
        <v>3204.9096795031792</v>
      </c>
    </row>
    <row r="19" spans="2:7" ht="17" thickBot="1" x14ac:dyDescent="0.25">
      <c r="B19" s="11" t="s">
        <v>9</v>
      </c>
      <c r="C19" s="15">
        <f>C9/C12</f>
        <v>3.9064832734310202</v>
      </c>
      <c r="D19" s="15">
        <f>D9/D12</f>
        <v>423.28859840232394</v>
      </c>
      <c r="E19" s="15">
        <f>E9/E12</f>
        <v>6317.4564387049841</v>
      </c>
      <c r="F19" s="16">
        <f>F9/F12</f>
        <v>14156.680479896242</v>
      </c>
    </row>
    <row r="21" spans="2:7" x14ac:dyDescent="0.2">
      <c r="G21" s="2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Tables and Graphs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Evan Hu</dc:creator>
  <cp:lastModifiedBy>Evan Hu</cp:lastModifiedBy>
  <dcterms:created xsi:type="dcterms:W3CDTF">2026-02-01T06:35:30Z</dcterms:created>
  <dcterms:modified xsi:type="dcterms:W3CDTF">2026-03-19T04:29:11Z</dcterms:modified>
</cp:coreProperties>
</file>